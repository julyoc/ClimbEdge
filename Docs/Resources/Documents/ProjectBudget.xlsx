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castro904\Documents\codigos\personal\ClimbEdge\Docs\Resources\Documents\"/>
    </mc:Choice>
  </mc:AlternateContent>
  <xr:revisionPtr revIDLastSave="0" documentId="13_ncr:1_{A5AE2592-CEB7-4133-9100-D710BF487CCE}" xr6:coauthVersionLast="47" xr6:coauthVersionMax="47" xr10:uidLastSave="{00000000-0000-0000-0000-000000000000}"/>
  <bookViews>
    <workbookView xWindow="6000" yWindow="4890" windowWidth="18885" windowHeight="8820" xr2:uid="{5443361D-16A8-4F27-B5AC-62FADFB7C97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G13" i="1"/>
  <c r="A12" i="1"/>
  <c r="G12" i="1"/>
  <c r="A11" i="1"/>
  <c r="G11" i="1"/>
  <c r="A8" i="1"/>
  <c r="G8" i="1"/>
  <c r="A7" i="1"/>
  <c r="G7" i="1"/>
  <c r="A6" i="1"/>
  <c r="G6" i="1"/>
  <c r="A5" i="1"/>
  <c r="G5" i="1"/>
  <c r="A4" i="1"/>
  <c r="G4" i="1"/>
  <c r="A3" i="1"/>
  <c r="G3" i="1"/>
  <c r="A9" i="1"/>
  <c r="A10" i="1"/>
  <c r="A2" i="1"/>
  <c r="G9" i="1"/>
  <c r="G2" i="1"/>
  <c r="G10" i="1"/>
  <c r="G14" i="1" l="1"/>
</calcChain>
</file>

<file path=xl/sharedStrings.xml><?xml version="1.0" encoding="utf-8"?>
<sst xmlns="http://schemas.openxmlformats.org/spreadsheetml/2006/main" count="30" uniqueCount="30">
  <si>
    <t>Nombre</t>
  </si>
  <si>
    <t>Descripción</t>
  </si>
  <si>
    <t>Valor</t>
  </si>
  <si>
    <t>Cantidad</t>
  </si>
  <si>
    <t>Valor Total</t>
  </si>
  <si>
    <t>Raspberry pi Zero 2w</t>
  </si>
  <si>
    <t>Total</t>
  </si>
  <si>
    <t>#</t>
  </si>
  <si>
    <t>Tubo</t>
  </si>
  <si>
    <t>Tubo cuadrado de 2'' x 1.5mm</t>
  </si>
  <si>
    <t>Madera Triplex</t>
  </si>
  <si>
    <t>Plancha de madera triplex 18mm</t>
  </si>
  <si>
    <t xml:space="preserve">Pantalla </t>
  </si>
  <si>
    <t>Pantalla de tinta electronica 2.13'' version HAT V4 wavesshare</t>
  </si>
  <si>
    <t>Link</t>
  </si>
  <si>
    <t>Convertidor 3.3v a 5v</t>
  </si>
  <si>
    <t>Convertidor logico bidireccional</t>
  </si>
  <si>
    <t>Funte 200W</t>
  </si>
  <si>
    <t>Fuente de 5v a 40A</t>
  </si>
  <si>
    <t>Micro SD</t>
  </si>
  <si>
    <t>Micro SD de 128gb</t>
  </si>
  <si>
    <t>Kit de rpi Zero 2w</t>
  </si>
  <si>
    <t>Carcasa, pines, cables, etc</t>
  </si>
  <si>
    <t>WS2812B Eco Led</t>
  </si>
  <si>
    <t>300 leds son ip65</t>
  </si>
  <si>
    <t>Presas</t>
  </si>
  <si>
    <t>Presas varias</t>
  </si>
  <si>
    <t>Colchoneta</t>
  </si>
  <si>
    <t>soldadura</t>
  </si>
  <si>
    <t>Soldada de pines del rpi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</si>
</sst>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Font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164" fontId="0" fillId="0" borderId="0" xfId="1" applyFont="1" applyAlignment="1">
      <alignment wrapText="1"/>
    </xf>
    <xf numFmtId="0" fontId="0" fillId="0" borderId="0" xfId="0" applyAlignment="1"/>
    <xf numFmtId="164" fontId="0" fillId="0" borderId="0" xfId="1" applyNumberFormat="1" applyFont="1"/>
    <xf numFmtId="164" fontId="1" fillId="0" borderId="0" xfId="1" applyFont="1"/>
  </cellXfs>
  <cellStyles count="2">
    <cellStyle name="Moneda" xfId="1" builtinId="4"/>
    <cellStyle name="Normal" xfId="0" builtinId="0"/>
  </cellStyles>
  <dxfs count="11">
    <dxf>
      <numFmt numFmtId="164" formatCode="_(&quot;$&quot;* #,##0.00_);_(&quot;$&quot;* \(#,##0.00\);_(&quot;$&quot;* &quot;-&quot;??_);_(@_)"/>
    </dxf>
    <dxf>
      <numFmt numFmtId="1" formatCode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" formatCode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5ABBDF-1FEA-429C-AE86-38CF263D3E2A}" name="Table1" displayName="Table1" ref="A1:G14" totalsRowCount="1" headerRowDxfId="10">
  <autoFilter ref="A1:G13" xr:uid="{EF5ABBDF-1FEA-429C-AE86-38CF263D3E2A}"/>
  <tableColumns count="7">
    <tableColumn id="1" xr3:uid="{5AAFB984-C85B-4BF1-A918-1C571672DC61}" name="#" totalsRowLabel="Total">
      <calculatedColumnFormula>ROW()-2</calculatedColumnFormula>
    </tableColumn>
    <tableColumn id="2" xr3:uid="{D2CB7489-ABE1-4BBC-85FE-71BA53EDF6A4}" name="Nombre" dataDxfId="9" totalsRowDxfId="3"/>
    <tableColumn id="3" xr3:uid="{C86D0AB4-DEB6-40A8-9392-93A7487C0EE6}" name="Descripción" dataDxfId="8" totalsRowDxfId="2"/>
    <tableColumn id="9" xr3:uid="{F216D570-7ECE-4417-99A9-CCD3AF39DFEE}" name="Link" dataDxfId="7"/>
    <tableColumn id="4" xr3:uid="{30834DA3-1966-47EB-8A17-1138734385AE}" name="Cantidad" dataDxfId="6" totalsRowDxfId="1"/>
    <tableColumn id="5" xr3:uid="{E683EF20-9F04-489F-B245-87EE163DBC3E}" name="Valor" dataDxfId="5"/>
    <tableColumn id="6" xr3:uid="{6CBFF6F8-BBF0-4390-82B5-2CCADAAB1B96}" name="Valor Total" totalsRowFunction="custom" dataDxfId="4" totalsRowDxfId="0">
      <calculatedColumnFormula>Table1[[#This Row],[Cantidad]]*Table1[[#This Row],[Valor]]</calculatedColumnFormula>
      <totalsRowFormula>SUM(Table1[Valor Total])</totalsRowFormula>
    </tableColumn>
  </tableColumns>
  <tableStyleInfo name="TableStyleLight8" showFirstColumn="1" showLastColumn="1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82DF-8B66-42C3-911C-E89DA602034C}">
  <dimension ref="A1:G14"/>
  <sheetViews>
    <sheetView tabSelected="1" view="pageBreakPreview" zoomScale="146" zoomScaleNormal="100" zoomScaleSheetLayoutView="146" workbookViewId="0">
      <pane ySplit="1" topLeftCell="A9" activePane="bottomLeft" state="frozen"/>
      <selection pane="bottomLeft" activeCell="F11" sqref="F11"/>
    </sheetView>
  </sheetViews>
  <sheetFormatPr baseColWidth="10" defaultColWidth="9.140625" defaultRowHeight="15" x14ac:dyDescent="0.25"/>
  <cols>
    <col min="1" max="1" width="3.7109375" customWidth="1"/>
    <col min="2" max="2" width="15.7109375" style="4" customWidth="1"/>
    <col min="3" max="3" width="35.5703125" style="4" customWidth="1"/>
    <col min="4" max="4" width="5.140625" customWidth="1"/>
    <col min="5" max="5" width="8.7109375" style="2" customWidth="1"/>
    <col min="6" max="6" width="10.28515625" style="1" customWidth="1"/>
    <col min="7" max="7" width="10.7109375" style="1" customWidth="1"/>
  </cols>
  <sheetData>
    <row r="1" spans="1:7" s="4" customFormat="1" ht="30" x14ac:dyDescent="0.25">
      <c r="A1" s="4" t="s">
        <v>7</v>
      </c>
      <c r="B1" s="4" t="s">
        <v>0</v>
      </c>
      <c r="C1" s="4" t="s">
        <v>1</v>
      </c>
      <c r="D1" t="s">
        <v>14</v>
      </c>
      <c r="E1" s="2" t="s">
        <v>3</v>
      </c>
      <c r="F1" s="5" t="s">
        <v>2</v>
      </c>
      <c r="G1" s="5" t="s">
        <v>4</v>
      </c>
    </row>
    <row r="2" spans="1:7" ht="30" x14ac:dyDescent="0.25">
      <c r="A2">
        <f t="shared" ref="A2:A8" si="0">ROW()-2</f>
        <v>0</v>
      </c>
      <c r="B2" s="4" t="s">
        <v>5</v>
      </c>
      <c r="E2" s="2">
        <v>1</v>
      </c>
      <c r="F2" s="1">
        <v>22.31</v>
      </c>
      <c r="G2" s="1">
        <f>Table1[[#This Row],[Cantidad]]*Table1[[#This Row],[Valor]]</f>
        <v>22.31</v>
      </c>
    </row>
    <row r="3" spans="1:7" ht="30" x14ac:dyDescent="0.25">
      <c r="A3">
        <f t="shared" si="0"/>
        <v>1</v>
      </c>
      <c r="B3" s="4" t="s">
        <v>12</v>
      </c>
      <c r="C3" s="4" t="s">
        <v>13</v>
      </c>
      <c r="E3" s="2">
        <v>1</v>
      </c>
      <c r="F3" s="1">
        <v>22.07</v>
      </c>
      <c r="G3" s="1">
        <f>Table1[[#This Row],[Cantidad]]*Table1[[#This Row],[Valor]]</f>
        <v>22.07</v>
      </c>
    </row>
    <row r="4" spans="1:7" ht="30" x14ac:dyDescent="0.25">
      <c r="A4">
        <f t="shared" si="0"/>
        <v>2</v>
      </c>
      <c r="B4" s="4" t="s">
        <v>15</v>
      </c>
      <c r="C4" s="4" t="s">
        <v>16</v>
      </c>
      <c r="E4" s="2">
        <v>1</v>
      </c>
      <c r="F4" s="1">
        <v>9.9499999999999993</v>
      </c>
      <c r="G4" s="1">
        <f>Table1[[#This Row],[Cantidad]]*Table1[[#This Row],[Valor]]</f>
        <v>9.9499999999999993</v>
      </c>
    </row>
    <row r="5" spans="1:7" x14ac:dyDescent="0.25">
      <c r="A5">
        <f t="shared" si="0"/>
        <v>3</v>
      </c>
      <c r="B5" s="4" t="s">
        <v>17</v>
      </c>
      <c r="C5" s="4" t="s">
        <v>18</v>
      </c>
      <c r="E5" s="2">
        <v>1</v>
      </c>
      <c r="F5" s="1">
        <v>21.99</v>
      </c>
      <c r="G5" s="1">
        <f>Table1[[#This Row],[Cantidad]]*Table1[[#This Row],[Valor]]</f>
        <v>21.99</v>
      </c>
    </row>
    <row r="6" spans="1:7" x14ac:dyDescent="0.25">
      <c r="A6">
        <f t="shared" si="0"/>
        <v>4</v>
      </c>
      <c r="B6" s="4" t="s">
        <v>19</v>
      </c>
      <c r="C6" s="4" t="s">
        <v>20</v>
      </c>
      <c r="E6" s="2">
        <v>1</v>
      </c>
      <c r="F6" s="1">
        <v>11.99</v>
      </c>
      <c r="G6" s="1">
        <f>Table1[[#This Row],[Cantidad]]*Table1[[#This Row],[Valor]]</f>
        <v>11.99</v>
      </c>
    </row>
    <row r="7" spans="1:7" ht="30" x14ac:dyDescent="0.25">
      <c r="A7">
        <f t="shared" si="0"/>
        <v>5</v>
      </c>
      <c r="B7" s="4" t="s">
        <v>21</v>
      </c>
      <c r="C7" s="4" t="s">
        <v>22</v>
      </c>
      <c r="E7" s="2">
        <v>1</v>
      </c>
      <c r="F7" s="1">
        <v>9.99</v>
      </c>
      <c r="G7" s="1">
        <f>Table1[[#This Row],[Cantidad]]*Table1[[#This Row],[Valor]]</f>
        <v>9.99</v>
      </c>
    </row>
    <row r="8" spans="1:7" ht="30" x14ac:dyDescent="0.25">
      <c r="A8">
        <f t="shared" si="0"/>
        <v>6</v>
      </c>
      <c r="B8" s="4" t="s">
        <v>23</v>
      </c>
      <c r="C8" s="4" t="s">
        <v>24</v>
      </c>
      <c r="E8" s="2">
        <v>1</v>
      </c>
      <c r="F8" s="1">
        <v>20.99</v>
      </c>
      <c r="G8" s="1">
        <f>Table1[[#This Row],[Cantidad]]*Table1[[#This Row],[Valor]]</f>
        <v>20.99</v>
      </c>
    </row>
    <row r="9" spans="1:7" x14ac:dyDescent="0.25">
      <c r="A9">
        <f t="shared" ref="A9:A10" si="1">ROW()-2</f>
        <v>7</v>
      </c>
      <c r="B9" s="4" t="s">
        <v>8</v>
      </c>
      <c r="C9" s="4" t="s">
        <v>9</v>
      </c>
      <c r="E9" s="2">
        <v>3</v>
      </c>
      <c r="F9" s="1">
        <v>16.7</v>
      </c>
      <c r="G9" s="1">
        <f>Table1[[#This Row],[Cantidad]]*Table1[[#This Row],[Valor]]</f>
        <v>50.099999999999994</v>
      </c>
    </row>
    <row r="10" spans="1:7" x14ac:dyDescent="0.25">
      <c r="A10">
        <f t="shared" si="1"/>
        <v>8</v>
      </c>
      <c r="B10" s="4" t="s">
        <v>10</v>
      </c>
      <c r="C10" s="4" t="s">
        <v>11</v>
      </c>
      <c r="E10" s="2">
        <v>0</v>
      </c>
      <c r="F10" s="1">
        <v>30</v>
      </c>
      <c r="G10" s="1">
        <f>Table1[[#This Row],[Cantidad]]*Table1[[#This Row],[Valor]]</f>
        <v>0</v>
      </c>
    </row>
    <row r="11" spans="1:7" x14ac:dyDescent="0.25">
      <c r="A11">
        <f>ROW()-2</f>
        <v>9</v>
      </c>
      <c r="B11" s="4" t="s">
        <v>25</v>
      </c>
      <c r="C11" s="4" t="s">
        <v>26</v>
      </c>
      <c r="E11" s="2">
        <v>0</v>
      </c>
      <c r="F11" s="8">
        <v>1.25</v>
      </c>
      <c r="G11" s="1">
        <f>Table1[[#This Row],[Cantidad]]*Table1[[#This Row],[Valor]]</f>
        <v>0</v>
      </c>
    </row>
    <row r="12" spans="1:7" x14ac:dyDescent="0.25">
      <c r="A12">
        <f>ROW()-2</f>
        <v>10</v>
      </c>
      <c r="B12" s="4" t="s">
        <v>27</v>
      </c>
      <c r="E12" s="2">
        <v>1</v>
      </c>
      <c r="G12" s="1">
        <f>Table1[[#This Row],[Cantidad]]*Table1[[#This Row],[Valor]]</f>
        <v>0</v>
      </c>
    </row>
    <row r="13" spans="1:7" x14ac:dyDescent="0.25">
      <c r="A13">
        <f>ROW()-2</f>
        <v>11</v>
      </c>
      <c r="B13" s="4" t="s">
        <v>28</v>
      </c>
      <c r="C13" s="4" t="s">
        <v>29</v>
      </c>
      <c r="D13" s="6"/>
      <c r="E13" s="2">
        <v>1</v>
      </c>
      <c r="F13" s="1">
        <v>5</v>
      </c>
      <c r="G13" s="7">
        <f>Table1[[#This Row],[Cantidad]]*Table1[[#This Row],[Valor]]</f>
        <v>5</v>
      </c>
    </row>
    <row r="14" spans="1:7" x14ac:dyDescent="0.25">
      <c r="A14" t="s">
        <v>6</v>
      </c>
      <c r="F14"/>
      <c r="G14" s="3">
        <f>SUM(Table1[Valor Total])</f>
        <v>174.39</v>
      </c>
    </row>
  </sheetData>
  <pageMargins left="0.7" right="0.7" top="0.75" bottom="0.75" header="0.3" footer="0.3"/>
  <pageSetup orientation="portrait" r:id="rId1"/>
  <headerFooter>
    <oddHeader>&amp;CInsumos del proyecto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EC4A-8D85-4EC7-9E68-DC17C6701E4E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castro</dc:creator>
  <cp:lastModifiedBy>Julio David Castro Martin</cp:lastModifiedBy>
  <dcterms:created xsi:type="dcterms:W3CDTF">2025-07-17T03:21:01Z</dcterms:created>
  <dcterms:modified xsi:type="dcterms:W3CDTF">2025-07-22T19:19:02Z</dcterms:modified>
</cp:coreProperties>
</file>